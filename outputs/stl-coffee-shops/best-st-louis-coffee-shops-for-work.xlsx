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0e1ecbc80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ations" sheetId="1" r:id="Rbfd8e9ab8109485f"/>
    <x:sheet xmlns:r="http://schemas.openxmlformats.org/officeDocument/2006/relationships" name="Sources &amp; Method" sheetId="2" r:id="R3b858fa03274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7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1"/>
      <x:color rgb="FFFFFF"/>
      <x:name val="Aptos"/>
    </x:font>
    <x:font>
      <x:sz val="11"/>
      <x:name val="Aptos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5" fillId="2" borderId="0" xfId="0" applyNumberFormat="1" applyFont="1" applyFill="1" applyBorder="1" applyAlignment="1">
      <x:alignment vertical="top" wrapText="1"/>
    </x:xf>
    <x:xf numFmtId="201" fontId="5" fillId="2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0e350394b4a03" /><Relationship Type="http://schemas.openxmlformats.org/officeDocument/2006/relationships/theme" Target="/xl/theme/theme1.xml" Id="R43955d1581a94241" /><Relationship Type="http://schemas.openxmlformats.org/officeDocument/2006/relationships/sharedStrings" Target="/xl/sharedStrings.xml" Id="Rdd565296d6ed42a2" /><Relationship Type="http://schemas.openxmlformats.org/officeDocument/2006/relationships/worksheet" Target="/xl/worksheets/sheet1.xml" Id="Rbfd8e9ab8109485f" /><Relationship Type="http://schemas.openxmlformats.org/officeDocument/2006/relationships/worksheet" Target="/xl/worksheets/sheet2.xml" Id="R3b858fa03274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0.670000076293945" hidden="0" customWidth="1"/>
    <x:col min="3" max="3" width="22.09000015258789" hidden="0" customWidth="1"/>
    <x:col min="4" max="4" width="19.6299991607666" hidden="0" customWidth="1"/>
    <x:col min="5" max="5" width="29.450000762939453" hidden="0" customWidth="1"/>
    <x:col min="6" max="6" width="10.180000305175781" hidden="0" customWidth="1"/>
    <x:col min="7" max="7" width="10.180000305175781" hidden="0" customWidth="1"/>
    <x:col min="8" max="8" width="12.270000457763672" hidden="0" customWidth="1"/>
    <x:col min="9" max="9" width="12.270000457763672" hidden="0" customWidth="1"/>
    <x:col min="10" max="10" width="31.290000915527344" hidden="0" customWidth="1"/>
    <x:col min="11" max="11" width="31.290000915527344" hidden="0" customWidth="1"/>
    <x:col min="12" max="12" width="19.6299991607666" hidden="0" customWidth="1"/>
    <x:col min="13" max="13" width="43.560001373291016" hidden="0" customWidth="1"/>
  </x:cols>
  <x:sheetData>
    <x:row r="1" ht="27" customHeight="1">
      <x:c r="A1" s="10" t="str">
        <x:v>Rank</x:v>
      </x:c>
      <x:c r="B1" s="12" t="str">
        <x:v>Recommendation Score</x:v>
      </x:c>
      <x:c r="C1" s="10" t="str">
        <x:v>Coffee Shop</x:v>
      </x:c>
      <x:c r="D1" s="10" t="str">
        <x:v>Neighborhood / Area</x:v>
      </x:c>
      <x:c r="E1" s="10" t="str">
        <x:v>Address</x:v>
      </x:c>
      <x:c r="F1" s="12" t="str">
        <x:v>Google Rating</x:v>
      </x:c>
      <x:c r="G1" s="13" t="str">
        <x:v>Google Reviews</x:v>
      </x:c>
      <x:c r="H1" s="10" t="str">
        <x:v>Work-Friendly Source</x:v>
      </x:c>
      <x:c r="I1" s="10" t="str">
        <x:v>Specialty Coffee Callout</x:v>
      </x:c>
      <x:c r="J1" s="10" t="str">
        <x:v>Best For</x:v>
      </x:c>
      <x:c r="K1" s="10" t="str">
        <x:v>Caveat</x:v>
      </x:c>
      <x:c r="L1" s="10" t="str">
        <x:v>Primary Source</x:v>
      </x:c>
      <x:c r="M1" s="10" t="str">
        <x:v>Map URL</x:v>
      </x:c>
    </x:row>
    <x:row r="2" ht="43.5" customHeight="1">
      <x:c r="A2" s="14" t="n">
        <x:v>1</x:v>
      </x:c>
      <x:c r="B2" s="14" t="n">
        <x:f>IF(F2="", "", ROUND((F2*20*0.7)+(MIN(LOG10(G2+1)/LOG10(1500),1)*20)+(IF(H2="Yes",5,0))+(IF(I2="Yes",5,0)),1))</x:f>
        <x:v>93.8</x:v>
      </x:c>
      <x:c r="C2" s="11" t="str">
        <x:v>Sump Coffee</x:v>
      </x:c>
      <x:c r="D2" s="11" t="str">
        <x:v>South City</x:v>
      </x:c>
      <x:c r="E2" s="11" t="str">
        <x:v>3700 South Jefferson Avenue, St. Louis</x:v>
      </x:c>
      <x:c r="F2" s="14" t="n">
        <x:v>4.7</x:v>
      </x:c>
      <x:c r="G2" s="14" t="n">
        <x:v>731</x:v>
      </x:c>
      <x:c r="H2" s="14" t="str">
        <x:v>Yes</x:v>
      </x:c>
      <x:c r="I2" s="14" t="str">
        <x:v>Yes</x:v>
      </x:c>
      <x:c r="J2" s="11" t="str">
        <x:v>Best serious-coffee pick; strong roaster reputation.</x:v>
      </x:c>
      <x:c r="K2" s="11" t="str">
        <x:v>Can be busy; best when coffee quality matters more than all-day desk comfort.</x:v>
      </x:c>
      <x:c r="L2" s="11" t="str">
        <x:v>Workmode; My Coffee Explorer</x:v>
      </x:c>
      <x:c r="M2" s="11" t="str">
        <x:v>https://www.google.com/maps/search/?api=1&amp;query=Sump%20Coffee%203700%20South%20Jefferson%20Avenue%20St.%20Louis</x:v>
      </x:c>
    </x:row>
    <x:row r="3" ht="43.5" customHeight="1">
      <x:c r="A3" s="14" t="n">
        <x:v>2</x:v>
      </x:c>
      <x:c r="B3" s="14" t="n">
        <x:f>IF(F3="", "", ROUND((F3*20*0.7)+(MIN(LOG10(G3+1)/LOG10(1500),1)*20)+(IF(H3="Yes",5,0))+(IF(I3="Yes",5,0)),1))</x:f>
        <x:v>93.2</x:v>
      </x:c>
      <x:c r="C3" s="11" t="str">
        <x:v>Coffeestamp</x:v>
      </x:c>
      <x:c r="D3" s="11" t="str">
        <x:v>Fox Park</x:v>
      </x:c>
      <x:c r="E3" s="11" t="str">
        <x:v>2511 South Jefferson Avenue, St. Louis</x:v>
      </x:c>
      <x:c r="F3" s="14" t="n">
        <x:v>4.9</x:v>
      </x:c>
      <x:c r="G3" s="14" t="n">
        <x:v>210</x:v>
      </x:c>
      <x:c r="H3" s="14" t="str">
        <x:v>Yes</x:v>
      </x:c>
      <x:c r="I3" s="14" t="str">
        <x:v>Yes</x:v>
      </x:c>
      <x:c r="J3" s="11" t="str">
        <x:v>Highest-rated coffee-forward stop; micro-roastery feel.</x:v>
      </x:c>
      <x:c r="K3" s="11" t="str">
        <x:v>Smaller local shop; check seating before planning a long stay.</x:v>
      </x:c>
      <x:c r="L3" s="11" t="str">
        <x:v>Workmode; My Coffee Explorer</x:v>
      </x:c>
      <x:c r="M3" s="11" t="str">
        <x:v>https://www.google.com/maps/search/?api=1&amp;query=Coffeestamp%202511%20South%20Jefferson%20Avenue%20St.%20Louis</x:v>
      </x:c>
    </x:row>
    <x:row r="4" ht="43.5" customHeight="1">
      <x:c r="A4" s="14" t="n">
        <x:v>3</x:v>
      </x:c>
      <x:c r="B4" s="14" t="n">
        <x:f>IF(F4="", "", ROUND((F4*20*0.7)+(MIN(LOG10(G4+1)/LOG10(1500),1)*20)+(IF(H4="Yes",5,0))+(IF(I4="Yes",5,0)),1))</x:f>
        <x:v>91.1</x:v>
      </x:c>
      <x:c r="C4" s="11" t="str">
        <x:v>Fiddlehead Fern Cafe</x:v>
      </x:c>
      <x:c r="D4" s="11" t="str">
        <x:v>Shaw / Botanical Garden</x:v>
      </x:c>
      <x:c r="E4" s="11" t="str">
        <x:v>4066 Russell Boulevard, St. Louis</x:v>
      </x:c>
      <x:c r="F4" s="14" t="n">
        <x:v>4.6</x:v>
      </x:c>
      <x:c r="G4" s="14" t="n">
        <x:v>445</x:v>
      </x:c>
      <x:c r="H4" s="14" t="str">
        <x:v>Yes</x:v>
      </x:c>
      <x:c r="I4" s="14" t="str">
        <x:v>Yes</x:v>
      </x:c>
      <x:c r="J4" s="11" t="str">
        <x:v>Botanical syrups and specialty espresso near the Garden.</x:v>
      </x:c>
      <x:c r="K4" s="11" t="str">
        <x:v>Published ratings differ by source; I used Workmode's review-count-backed figure.</x:v>
      </x:c>
      <x:c r="L4" s="11" t="str">
        <x:v>Workmode; My Coffee Explorer</x:v>
      </x:c>
      <x:c r="M4" s="11" t="str">
        <x:v>https://www.google.com/maps/search/?api=1&amp;query=Fiddlehead%20Fern%20Cafe%204066%20Russell%20Boulevard%20St.%20Louis</x:v>
      </x:c>
    </x:row>
    <x:row r="5" ht="43.5" customHeight="1">
      <x:c r="A5" s="14" t="n">
        <x:v>4</x:v>
      </x:c>
      <x:c r="B5" s="14" t="n">
        <x:f>IF(F5="", "", ROUND((F5*20*0.7)+(MIN(LOG10(G5+1)/LOG10(1500),1)*20)+(IF(H5="Yes",5,0))+(IF(I5="Yes",5,0)),1))</x:f>
        <x:v>90.7</x:v>
      </x:c>
      <x:c r="C5" s="11" t="str">
        <x:v>Blueprint Coffee</x:v>
      </x:c>
      <x:c r="D5" s="11" t="str">
        <x:v>Delmar Loop</x:v>
      </x:c>
      <x:c r="E5" s="11" t="str">
        <x:v>6225 Delmar Boulevard, St. Louis</x:v>
      </x:c>
      <x:c r="F5" s="14" t="n">
        <x:v>4.5</x:v>
      </x:c>
      <x:c r="G5" s="14" t="n">
        <x:v>641</x:v>
      </x:c>
      <x:c r="H5" s="14" t="str">
        <x:v>Yes</x:v>
      </x:c>
      <x:c r="I5" s="14" t="str">
        <x:v>Yes</x:v>
      </x:c>
      <x:c r="J5" s="11" t="str">
        <x:v>Specialty roaster pick with a lighter-roast focus.</x:v>
      </x:c>
      <x:c r="K5" s="11" t="str">
        <x:v>Loop traffic/parking may be less convenient from some city neighborhoods.</x:v>
      </x:c>
      <x:c r="L5" s="11" t="str">
        <x:v>Workmode; My Coffee Explorer</x:v>
      </x:c>
      <x:c r="M5" s="11" t="str">
        <x:v>https://www.google.com/maps/search/?api=1&amp;query=Blueprint%20Coffee%206225%20Delmar%20Boulevard%20St.%20Louis</x:v>
      </x:c>
    </x:row>
    <x:row r="6" ht="43.5" customHeight="1">
      <x:c r="A6" s="14" t="n">
        <x:v>5</x:v>
      </x:c>
      <x:c r="B6" s="14" t="n">
        <x:f>IF(F6="", "", ROUND((F6*20*0.7)+(MIN(LOG10(G6+1)/LOG10(1500),1)*20)+(IF(H6="Yes",5,0))+(IF(I6="Yes",5,0)),1))</x:f>
        <x:v>89.3</x:v>
      </x:c>
      <x:c r="C6" s="11" t="str">
        <x:v>The Mud House</x:v>
      </x:c>
      <x:c r="D6" s="11" t="str">
        <x:v>Cherokee Street</x:v>
      </x:c>
      <x:c r="E6" s="11" t="str">
        <x:v>2101 Cherokee Street, St. Louis</x:v>
      </x:c>
      <x:c r="F6" s="14" t="n">
        <x:v>4.6</x:v>
      </x:c>
      <x:c r="G6" s="14" t="n">
        <x:v>1432</x:v>
      </x:c>
      <x:c r="H6" s="14" t="str">
        <x:v>Yes</x:v>
      </x:c>
      <x:c r="I6" s="14" t="str">
        <x:v>No</x:v>
      </x:c>
      <x:c r="J6" s="11" t="str">
        <x:v>Most review-backed option; good cafe/food setup.</x:v>
      </x:c>
      <x:c r="K6" s="11" t="str">
        <x:v>Popular spot; noise and table availability may vary.</x:v>
      </x:c>
      <x:c r="L6" s="11" t="str">
        <x:v>Workmode</x:v>
      </x:c>
      <x:c r="M6" s="11" t="str">
        <x:v>https://www.google.com/maps/search/?api=1&amp;query=The%20Mud%20House%202101%20Cherokee%20Street%20St.%20Louis</x:v>
      </x:c>
    </x:row>
    <x:row r="7" ht="43.5" customHeight="1">
      <x:c r="A7" s="14" t="n">
        <x:v>6</x:v>
      </x:c>
      <x:c r="B7" s="14" t="n">
        <x:f>IF(F7="", "", ROUND((F7*20*0.7)+(MIN(LOG10(G7+1)/LOG10(1500),1)*20)+(IF(H7="Yes",5,0))+(IF(I7="Yes",5,0)),1))</x:f>
        <x:v>88.3</x:v>
      </x:c>
      <x:c r="C7" s="11" t="str">
        <x:v>Comet Coffee</x:v>
      </x:c>
      <x:c r="D7" s="11" t="str">
        <x:v>Forest Park Southeast / Oakland</x:v>
      </x:c>
      <x:c r="E7" s="11" t="str">
        <x:v>5708 Oakland Avenue, St. Louis</x:v>
      </x:c>
      <x:c r="F7" s="14" t="n">
        <x:v>4.7</x:v>
      </x:c>
      <x:c r="G7" s="14" t="n">
        <x:v>597</x:v>
      </x:c>
      <x:c r="H7" s="14" t="str">
        <x:v>Yes</x:v>
      </x:c>
      <x:c r="I7" s="14" t="str">
        <x:v>No</x:v>
      </x:c>
      <x:c r="J7" s="11" t="str">
        <x:v>High-rated coffee and pastries near Forest Park.</x:v>
      </x:c>
      <x:c r="K7" s="11" t="str">
        <x:v>Seating can tighten up during peak pastry/coffee times.</x:v>
      </x:c>
      <x:c r="L7" s="11" t="str">
        <x:v>Workmode</x:v>
      </x:c>
      <x:c r="M7" s="11" t="str">
        <x:v>https://www.google.com/maps/search/?api=1&amp;query=Comet%20Coffee%205708%20Oakland%20Avenue%20St.%20Louis</x:v>
      </x:c>
    </x:row>
    <x:row r="8" ht="43.5" customHeight="1">
      <x:c r="A8" s="14" t="n">
        <x:v>7</x:v>
      </x:c>
      <x:c r="B8" s="14" t="n">
        <x:f>IF(F8="", "", ROUND((F8*20*0.7)+(MIN(LOG10(G8+1)/LOG10(1500),1)*20)+(IF(H8="Yes",5,0))+(IF(I8="Yes",5,0)),1))</x:f>
        <x:v>87.7</x:v>
      </x:c>
      <x:c r="C8" s="11" t="str">
        <x:v>Kitchen House Coffee</x:v>
      </x:c>
      <x:c r="D8" s="11" t="str">
        <x:v>Tower Grove East / Benton Park West</x:v>
      </x:c>
      <x:c r="E8" s="11" t="str">
        <x:v>3149 Shenandoah Avenue, St. Louis</x:v>
      </x:c>
      <x:c r="F8" s="14" t="n">
        <x:v>4.8</x:v>
      </x:c>
      <x:c r="G8" s="14" t="n">
        <x:v>284</x:v>
      </x:c>
      <x:c r="H8" s="14" t="str">
        <x:v>Yes</x:v>
      </x:c>
      <x:c r="I8" s="14" t="str">
        <x:v>No</x:v>
      </x:c>
      <x:c r="J8" s="11" t="str">
        <x:v>High rating with neighborhood-cafe energy.</x:v>
      </x:c>
      <x:c r="K8" s="11" t="str">
        <x:v>Likely better for focused blocks than lots of calls.</x:v>
      </x:c>
      <x:c r="L8" s="11" t="str">
        <x:v>Workmode</x:v>
      </x:c>
      <x:c r="M8" s="11" t="str">
        <x:v>https://www.google.com/maps/search/?api=1&amp;query=Kitchen%20House%20Coffee%203149%20Shenandoah%20Avenue%20St.%20Louis</x:v>
      </x:c>
    </x:row>
    <x:row r="9" ht="43.5" customHeight="1">
      <x:c r="A9" s="14" t="n">
        <x:v>8</x:v>
      </x:c>
      <x:c r="B9" s="14" t="n">
        <x:f>IF(F9="", "", ROUND((F9*20*0.7)+(MIN(LOG10(G9+1)/LOG10(1500),1)*20)+(IF(H9="Yes",5,0))+(IF(I9="Yes",5,0)),1))</x:f>
        <x:v>87.6</x:v>
      </x:c>
      <x:c r="C9" s="11" t="str">
        <x:v>Rise Coffee</x:v>
      </x:c>
      <x:c r="D9" s="11" t="str">
        <x:v>The Grove</x:v>
      </x:c>
      <x:c r="E9" s="11" t="str">
        <x:v>4176 Manchester Avenue, St. Louis</x:v>
      </x:c>
      <x:c r="F9" s="14" t="n">
        <x:v>4.6</x:v>
      </x:c>
      <x:c r="G9" s="14" t="n">
        <x:v>782</x:v>
      </x:c>
      <x:c r="H9" s="14" t="str">
        <x:v>Yes</x:v>
      </x:c>
      <x:c r="I9" s="14" t="str">
        <x:v>No</x:v>
      </x:c>
      <x:c r="J9" s="11" t="str">
        <x:v>Work-friendly neighborhood cafe with strong review volume.</x:v>
      </x:c>
      <x:c r="K9" s="11" t="str">
        <x:v>Can fill up in The Grove; better outside peak brunch periods.</x:v>
      </x:c>
      <x:c r="L9" s="11" t="str">
        <x:v>Workmode</x:v>
      </x:c>
      <x:c r="M9" s="11" t="str">
        <x:v>https://www.google.com/maps/search/?api=1&amp;query=Rise%20Coffee%204176%20Manchester%20Avenue%20St.%20Louis</x:v>
      </x:c>
    </x:row>
    <x:row r="10" ht="43.5" customHeight="1">
      <x:c r="A10" s="14" t="n">
        <x:v>9</x:v>
      </x:c>
      <x:c r="B10" s="14" t="n">
        <x:f>IF(F10="", "", ROUND((F10*20*0.7)+(MIN(LOG10(G10+1)/LOG10(1500),1)*20)+(IF(H10="Yes",5,0))+(IF(I10="Yes",5,0)),1))</x:f>
        <x:v>87.4</x:v>
      </x:c>
      <x:c r="C10" s="11" t="str">
        <x:v>MoKaBe's Coffeehouse</x:v>
      </x:c>
      <x:c r="D10" s="11" t="str">
        <x:v>Tower Grove South</x:v>
      </x:c>
      <x:c r="E10" s="11" t="str">
        <x:v>3606 Arsenal Street, St. Louis</x:v>
      </x:c>
      <x:c r="F10" s="14" t="n">
        <x:v>4.5</x:v>
      </x:c>
      <x:c r="G10" s="14" t="n">
        <x:v>1197</x:v>
      </x:c>
      <x:c r="H10" s="14" t="str">
        <x:v>Yes</x:v>
      </x:c>
      <x:c r="I10" s="14" t="str">
        <x:v>No</x:v>
      </x:c>
      <x:c r="J10" s="11" t="str">
        <x:v>Proven long-running cafe with major review volume.</x:v>
      </x:c>
      <x:c r="K10" s="11" t="str">
        <x:v>Cafe atmosphere may be active; not the quietest option.</x:v>
      </x:c>
      <x:c r="L10" s="11" t="str">
        <x:v>Workmode</x:v>
      </x:c>
      <x:c r="M10" s="11" t="str">
        <x:v>https://www.google.com/maps/search/?api=1&amp;query=MoKaBe%27s%20Coffeehouse%203606%20Arsenal%20Street%20St.%20Louis</x:v>
      </x:c>
    </x:row>
    <x:row r="11" ht="43.5" customHeight="1">
      <x:c r="A11" s="14" t="n">
        <x:v>10</x:v>
      </x:c>
      <x:c r="B11" s="14" t="n">
        <x:f>IF(F11="", "", ROUND((F11*20*0.7)+(MIN(LOG10(G11+1)/LOG10(1500),1)*20)+(IF(H11="Yes",5,0))+(IF(I11="Yes",5,0)),1))</x:f>
        <x:v>87.4</x:v>
      </x:c>
      <x:c r="C11" s="11" t="str">
        <x:v>Kaldi's Coffee - DeMun</x:v>
      </x:c>
      <x:c r="D11" s="11" t="str">
        <x:v>DeMun / Clayton edge</x:v>
      </x:c>
      <x:c r="E11" s="11" t="str">
        <x:v>700 De Mun Avenue, St. Louis</x:v>
      </x:c>
      <x:c r="F11" s="14" t="n">
        <x:v>4.6</x:v>
      </x:c>
      <x:c r="G11" s="14" t="n">
        <x:v>710</x:v>
      </x:c>
      <x:c r="H11" s="14" t="str">
        <x:v>Yes</x:v>
      </x:c>
      <x:c r="I11" s="14" t="str">
        <x:v>No</x:v>
      </x:c>
      <x:c r="J11" s="11" t="str">
        <x:v>Reliable local chain option with solid seating odds.</x:v>
      </x:c>
      <x:c r="K11" s="11" t="str">
        <x:v>Technically near the city edge; verify travel time from your exact spot.</x:v>
      </x:c>
      <x:c r="L11" s="11" t="str">
        <x:v>Workmode</x:v>
      </x:c>
      <x:c r="M11" s="11" t="str">
        <x:v>https://www.google.com/maps/search/?api=1&amp;query=Kaldi%27s%20Coffee%20700%20De%20Mun%20Avenue%20St.%20Louis</x:v>
      </x:c>
    </x:row>
    <x:row r="12" ht="43.5" customHeight="1">
      <x:c r="A12" s="14" t="n">
        <x:v>11</x:v>
      </x:c>
      <x:c r="B12" s="14" t="n">
        <x:f>IF(F12="", "", ROUND((F12*20*0.7)+(MIN(LOG10(G12+1)/LOG10(1500),1)*20)+(IF(H12="Yes",5,0))+(IF(I12="Yes",5,0)),1))</x:f>
        <x:v>86.9</x:v>
      </x:c>
      <x:c r="C12" s="11" t="str">
        <x:v>Shameless Grounds</x:v>
      </x:c>
      <x:c r="D12" s="11" t="str">
        <x:v>Benton Park</x:v>
      </x:c>
      <x:c r="E12" s="11" t="str">
        <x:v>1901 Withnell Avenue, St. Louis</x:v>
      </x:c>
      <x:c r="F12" s="14" t="n">
        <x:v>4.8</x:v>
      </x:c>
      <x:c r="G12" s="14" t="n">
        <x:v>215</x:v>
      </x:c>
      <x:c r="H12" s="14" t="str">
        <x:v>Yes</x:v>
      </x:c>
      <x:c r="I12" s="14" t="str">
        <x:v>No</x:v>
      </x:c>
      <x:c r="J12" s="11" t="str">
        <x:v>Laptop-friendly cafe with very high public rating.</x:v>
      </x:c>
      <x:c r="K12" s="11" t="str">
        <x:v>Sex-positive branding/decor may not fit every work context.</x:v>
      </x:c>
      <x:c r="L12" s="11" t="str">
        <x:v>Workmode; Reddit local caveat</x:v>
      </x:c>
      <x:c r="M12" s="11" t="str">
        <x:v>https://www.google.com/maps/search/?api=1&amp;query=Shameless%20Grounds%201901%20Withnell%20Avenue%20St.%20Louis</x:v>
      </x:c>
    </x:row>
    <x:row r="13" ht="43.5" customHeight="1">
      <x:c r="A13" s="14" t="n">
        <x:v>12</x:v>
      </x:c>
      <x:c r="B13" s="14" t="n">
        <x:f>IF(F13="", "", ROUND((F13*20*0.7)+(MIN(LOG10(G13+1)/LOG10(1500),1)*20)+(IF(H13="Yes",5,0))+(IF(I13="Yes",5,0)),1))</x:f>
        <x:v>86.2</x:v>
      </x:c>
      <x:c r="C13" s="11" t="str">
        <x:v>Kaldi's Coffee on Skinker</x:v>
      </x:c>
      <x:c r="D13" s="11" t="str">
        <x:v>Skinker-DeBaliviere</x:v>
      </x:c>
      <x:c r="E13" s="11" t="str">
        <x:v>270 Skinker Boulevard, St. Louis</x:v>
      </x:c>
      <x:c r="F13" s="14" t="n">
        <x:v>4.5</x:v>
      </x:c>
      <x:c r="G13" s="14" t="n">
        <x:v>790</x:v>
      </x:c>
      <x:c r="H13" s="14" t="str">
        <x:v>Yes</x:v>
      </x:c>
      <x:c r="I13" s="14" t="str">
        <x:v>No</x:v>
      </x:c>
      <x:c r="J13" s="11" t="str">
        <x:v>Reliable work session near WashU/Forest Park.</x:v>
      </x:c>
      <x:c r="K13" s="11" t="str">
        <x:v>Student traffic can make it busy.</x:v>
      </x:c>
      <x:c r="L13" s="11" t="str">
        <x:v>Workmode</x:v>
      </x:c>
      <x:c r="M13" s="11" t="str">
        <x:v>https://www.google.com/maps/search/?api=1&amp;query=Kaldi%27s%20Coffee%20on%20Skinker%20270%20Skinker%20Boulevard%20St.%20Louis</x:v>
      </x:c>
    </x:row>
    <x:row r="14" ht="43.5" customHeight="1">
      <x:c r="A14" s="14" t="n">
        <x:v>13</x:v>
      </x:c>
      <x:c r="B14" s="14" t="n">
        <x:f>IF(F14="", "", ROUND((F14*20*0.7)+(MIN(LOG10(G14+1)/LOG10(1500),1)*20)+(IF(H14="Yes",5,0))+(IF(I14="Yes",5,0)),1))</x:f>
        <x:v>86</x:v>
      </x:c>
      <x:c r="C14" s="11" t="str">
        <x:v>Hartford Coffee Company</x:v>
      </x:c>
      <x:c r="D14" s="11" t="str">
        <x:v>Tower Grove South</x:v>
      </x:c>
      <x:c r="E14" s="11" t="str">
        <x:v>3974 Hartford Street, St. Louis</x:v>
      </x:c>
      <x:c r="F14" s="14" t="n">
        <x:v>4.5</x:v>
      </x:c>
      <x:c r="G14" s="14" t="n">
        <x:v>714</x:v>
      </x:c>
      <x:c r="H14" s="14" t="str">
        <x:v>Yes</x:v>
      </x:c>
      <x:c r="I14" s="14" t="str">
        <x:v>No</x:v>
      </x:c>
      <x:c r="J14" s="11" t="str">
        <x:v>Neighborhood workhorse for longer laptop sessions.</x:v>
      </x:c>
      <x:c r="K14" s="11" t="str">
        <x:v>Choose a non-peak window if you need a quieter table.</x:v>
      </x:c>
      <x:c r="L14" s="11" t="str">
        <x:v>Workmode; Reddit local mentions</x:v>
      </x:c>
      <x:c r="M14" s="11" t="str">
        <x:v>https://www.google.com/maps/search/?api=1&amp;query=Hartford%20Coffee%20Company%203974%20Hartford%20Street%20St.%20Louis</x:v>
      </x:c>
    </x:row>
    <x:row r="15" ht="43.5" customHeight="1">
      <x:c r="A15" s="14" t="n">
        <x:v>14</x:v>
      </x:c>
      <x:c r="B15" s="14" t="n">
        <x:f>IF(F15="", "", ROUND((F15*20*0.7)+(MIN(LOG10(G15+1)/LOG10(1500),1)*20)+(IF(H15="Yes",5,0))+(IF(I15="Yes",5,0)),1))</x:f>
        <x:v>85.1</x:v>
      </x:c>
      <x:c r="C15" s="11" t="str">
        <x:v>Northwest Coffee Roasting</x:v>
      </x:c>
      <x:c r="D15" s="11" t="str">
        <x:v>Central West End / Cortex</x:v>
      </x:c>
      <x:c r="E15" s="11" t="str">
        <x:v>4251 Laclede Avenue, St. Louis</x:v>
      </x:c>
      <x:c r="F15" s="14" t="n">
        <x:v>4.5</x:v>
      </x:c>
      <x:c r="G15" s="14" t="n">
        <x:v>516</x:v>
      </x:c>
      <x:c r="H15" s="14" t="str">
        <x:v>Yes</x:v>
      </x:c>
      <x:c r="I15" s="14" t="str">
        <x:v>No</x:v>
      </x:c>
      <x:c r="J15" s="11" t="str">
        <x:v>CWE/Cortex-area work stop with patio-friendly reputation.</x:v>
      </x:c>
      <x:c r="K15" s="11" t="str">
        <x:v>Weather and seating matter if you prefer outdoor work.</x:v>
      </x:c>
      <x:c r="L15" s="11" t="str">
        <x:v>Workmode</x:v>
      </x:c>
      <x:c r="M15" s="11" t="str">
        <x:v>https://www.google.com/maps/search/?api=1&amp;query=Northwest%20Coffee%20Roasting%204251%20Laclede%20Avenue%20St.%20Louis</x:v>
      </x:c>
    </x:row>
    <x:row r="16" ht="43.5" customHeight="1">
      <x:c r="A16" s="14" t="n">
        <x:v>15</x:v>
      </x:c>
      <x:c r="B16" s="14" t="n">
        <x:f>IF(F16="", "", ROUND((F16*20*0.7)+(MIN(LOG10(G16+1)/LOG10(1500),1)*20)+(IF(H16="Yes",5,0))+(IF(I16="Yes",5,0)),1))</x:f>
        <x:v>83.7</x:v>
      </x:c>
      <x:c r="C16" s="11" t="str">
        <x:v>Catalyst Coffee Bar</x:v>
      </x:c>
      <x:c r="D16" s="11" t="str">
        <x:v>Downtown West</x:v>
      </x:c>
      <x:c r="E16" s="11" t="str">
        <x:v>1223 Pine Street, St. Louis</x:v>
      </x:c>
      <x:c r="F16" s="14" t="n">
        <x:v>4.6</x:v>
      </x:c>
      <x:c r="G16" s="14" t="n">
        <x:v>189</x:v>
      </x:c>
      <x:c r="H16" s="14" t="str">
        <x:v>Yes</x:v>
      </x:c>
      <x:c r="I16" s="14" t="str">
        <x:v>No</x:v>
      </x:c>
      <x:c r="J16" s="11" t="str">
        <x:v>Central city work stop with a strong rating.</x:v>
      </x:c>
      <x:c r="K16" s="11" t="str">
        <x:v>Lower review count than the top picks.</x:v>
      </x:c>
      <x:c r="L16" s="11" t="str">
        <x:v>Workmode</x:v>
      </x:c>
      <x:c r="M16" s="11" t="str">
        <x:v>https://www.google.com/maps/search/?api=1&amp;query=Catalyst%20Coffee%20Bar%201223%20Pine%20Street%20St.%20Louis</x:v>
      </x:c>
    </x:row>
    <x:row r="17" ht="43.5" customHeight="1">
      <x:c r="A17" s="14" t="n">
        <x:v>16</x:v>
      </x:c>
      <x:c r="B17" s="14" t="str">
        <x:f>IF(F17="", "", ROUND((F17*20*0.7)+(MIN(LOG10(G17+1)/LOG10(1500),1)*20)+(IF(H17="Yes",5,0))+(IF(I17="Yes",5,0)),1))</x:f>
      </x:c>
      <x:c r="C17" s="11" t="str">
        <x:v>Kaldi's Coffee - Euclid</x:v>
      </x:c>
      <x:c r="D17" s="11" t="str">
        <x:v>Central West End</x:v>
      </x:c>
      <x:c r="E17" s="11" t="str">
        <x:v>52 N. Euclid, St. Louis, MO 63108</x:v>
      </x:c>
      <x:c r="F17" s="14"/>
      <x:c r="G17" s="14"/>
      <x:c r="H17" s="14" t="str">
        <x:v>Yes</x:v>
      </x:c>
      <x:c r="I17" s="14" t="str">
        <x:v>No</x:v>
      </x:c>
      <x:c r="J17" s="11" t="str">
        <x:v>Reliable CWE fallback with directly confirmed free Wi-Fi.</x:v>
      </x:c>
      <x:c r="K17" s="11" t="str">
        <x:v>Rating not included in the Workmode ranking; listed as a practical honorable mention.</x:v>
      </x:c>
      <x:c r="L17" s="11" t="str">
        <x:v>Kaldi's official location page</x:v>
      </x:c>
      <x:c r="M17" s="11" t="str">
        <x:v>https://www.google.com/maps/search/?api=1&amp;query=Kaldi%27s%20Coffee%2052%20N%20Euclid%20St.%20Louis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95.08999633789062" hidden="0" customWidth="1"/>
  </x:cols>
  <x:sheetData>
    <x:row r="1" ht="22.5" customHeight="1">
      <x:c r="A1" s="10" t="str">
        <x:v>Field</x:v>
      </x:c>
      <x:c r="B1" s="10" t="str">
        <x:v>Notes</x:v>
      </x:c>
    </x:row>
    <x:row r="2" ht="33.75" customHeight="1">
      <x:c r="A2" s="11" t="str">
        <x:v>Workbook purpose</x:v>
      </x:c>
      <x:c r="B2" s="11" t="str">
        <x:v>High-rated St. Louis city-area coffee shops that are practical for laptop work.</x:v>
      </x:c>
    </x:row>
    <x:row r="3" ht="33.75" customHeight="1">
      <x:c r="A3" s="11" t="str">
        <x:v>Current location assumption</x:v>
      </x:c>
      <x:c r="B3" s="11" t="str">
        <x:v>User said they are in St. Louis city, but did not give an exact address; this avoids exact distance ranking and keeps options within or near St. Louis city neighborhoods.</x:v>
      </x:c>
    </x:row>
    <x:row r="4" ht="33.75" customHeight="1">
      <x:c r="A4" s="11" t="str">
        <x:v>Ranking method</x:v>
      </x:c>
      <x:c r="B4" s="11" t="str">
        <x:v>Recommendation Score = 70% public rating strength, 20% review-volume confidence, 5% explicit work-friendly/Wi-Fi source, 5% specialty-coffee callout.</x:v>
      </x:c>
    </x:row>
    <x:row r="5" ht="33.75" customHeight="1">
      <x:c r="A5" s="11" t="str">
        <x:v>Rating source</x:v>
      </x:c>
      <x:c r="B5" s="11" t="str">
        <x:v>Workmode St. Louis cafe list, which states the cafes are laptop/Wi-Fi friendly and provides Google ratings/review counts.</x:v>
      </x:c>
    </x:row>
    <x:row r="6" ht="33.75" customHeight="1">
      <x:c r="A6" s="11" t="str">
        <x:v>Coffee-quality source</x:v>
      </x:c>
      <x:c r="B6" s="11" t="str">
        <x:v>My Coffee Explorer St. Louis guide, updated May 14, 2026, used for specialty-roaster/cafe callouts.</x:v>
      </x:c>
    </x:row>
    <x:row r="7" ht="33.75" customHeight="1">
      <x:c r="A7" s="11" t="str">
        <x:v>Direct official source</x:v>
      </x:c>
      <x:c r="B7" s="11" t="str">
        <x:v>Kaldi's Euclid page confirms Central West End address, hours, and free Wi-Fi; included as a practical honorable mention.</x:v>
      </x:c>
    </x:row>
    <x:row r="8" ht="33.75" customHeight="1">
      <x:c r="A8" s="11" t="str">
        <x:v>Important limitation</x:v>
      </x:c>
      <x:c r="B8" s="11" t="str">
        <x:v>Hours, table availability, outlet access, and Wi-Fi performance can change day to day; check Maps or the shop site before heading out.</x:v>
      </x:c>
    </x:row>
    <x:row r="9" ht="33.75" customHeight="1">
      <x:c r="A9" s="11" t="str">
        <x:v>Source URL</x:v>
      </x:c>
      <x:c r="B9" s="11" t="str">
        <x:v>https://workmode.co/st-louis/cafes</x:v>
      </x:c>
    </x:row>
    <x:row r="10" ht="33.75" customHeight="1">
      <x:c r="A10" s="11" t="str">
        <x:v>Source URL</x:v>
      </x:c>
      <x:c r="B10" s="11" t="str">
        <x:v>https://mycoffeeexplorer.com/guides/st-louis</x:v>
      </x:c>
    </x:row>
    <x:row r="11" ht="33.75" customHeight="1">
      <x:c r="A11" s="11" t="str">
        <x:v>Source URL</x:v>
      </x:c>
      <x:c r="B11" s="11" t="str">
        <x:v>https://kaldiscoffee.com/pages/the-euclid</x:v>
      </x:c>
    </x:row>
  </x:sheetData>
  <x:pageMargins left="0.7" right="0.7" top="0.75" bottom="0.75" header="0.3" footer="0.3"/>
</x:worksheet>
</file>